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nastia/Desktop/Stripe/"/>
    </mc:Choice>
  </mc:AlternateContent>
  <xr:revisionPtr revIDLastSave="0" documentId="13_ncr:1_{B0BF82E1-BA2D-FC40-ABDC-0329C7D9E699}" xr6:coauthVersionLast="47" xr6:coauthVersionMax="47" xr10:uidLastSave="{00000000-0000-0000-0000-000000000000}"/>
  <bookViews>
    <workbookView xWindow="0" yWindow="740" windowWidth="25600" windowHeight="15500" xr2:uid="{CEF09BB4-F6A0-454D-BF32-5BD8D322C345}"/>
  </bookViews>
  <sheets>
    <sheet name="transfers" sheetId="2" r:id="rId1"/>
    <sheet name="Sheet1" sheetId="1" r:id="rId2"/>
  </sheets>
  <definedNames>
    <definedName name="ExternalData_1" localSheetId="0" hidden="1">transfers!$A$1:$E$8</definedName>
    <definedName name="_xlnm.Print_Area" localSheetId="0">transfers!$A$1:$H$26</definedName>
  </definedNames>
  <calcPr calcId="191029"/>
  <pivotCaches>
    <pivotCache cacheId="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26D8CB-8DD7-614D-BFE1-6845204D89AF}" keepAlive="1" name="Query - transfers" description="Connection to the 'transfers' query in the workbook." type="5" refreshedVersion="8" background="1" saveData="1">
    <dbPr connection="Provider=Microsoft.Mashup.OleDb.1;Data Source=$Workbook$;Location=transfers;Extended Properties=&quot;&quot;" command="SELECT * FROM [transfers]"/>
  </connection>
  <connection id="2" xr16:uid="{AE86FAAB-1F5D-9943-A242-DF1EB6D82C25}" keepAlive="1" name="Query - unified_payments" description="Connection to the 'unified_payments' query in the workbook." type="5" refreshedVersion="0" background="1">
    <dbPr connection="Provider=Microsoft.Mashup.OleDb.1;Data Source=$Workbook$;Location=unified_payments;Extended Properties=&quot;&quot;" command="SELECT * FROM [unified_payments]"/>
  </connection>
</connections>
</file>

<file path=xl/sharedStrings.xml><?xml version="1.0" encoding="utf-8"?>
<sst xmlns="http://schemas.openxmlformats.org/spreadsheetml/2006/main" count="31" uniqueCount="18">
  <si>
    <t>Created</t>
  </si>
  <si>
    <t>Net</t>
  </si>
  <si>
    <t>Details</t>
  </si>
  <si>
    <t/>
  </si>
  <si>
    <t>Checkout Line Item Summary</t>
  </si>
  <si>
    <t>Wsparcie | Giving (1)</t>
  </si>
  <si>
    <t>Customer Email.1</t>
  </si>
  <si>
    <t>Row Labels</t>
  </si>
  <si>
    <t>Grand Total</t>
  </si>
  <si>
    <t>Sum of Net</t>
  </si>
  <si>
    <t xml:space="preserve"> </t>
  </si>
  <si>
    <t>dina.mishkur@gmail.com</t>
  </si>
  <si>
    <t>aniaszczyrna@icloud.com</t>
  </si>
  <si>
    <t>edromanovmusic@icloud.com</t>
  </si>
  <si>
    <t>danamyndzia9@gmail.com</t>
  </si>
  <si>
    <t>olimpieus@gmail.com</t>
  </si>
  <si>
    <t>czarekmatuszewski02@gmail.com</t>
  </si>
  <si>
    <t>ivan.kukharenko@gmail.com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</si>
</sst>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7" formatCode="m/d/yy\ h:mm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tia" refreshedDate="45848.615814930556" createdVersion="8" refreshedVersion="8" minRefreshableVersion="3" recordCount="7" xr:uid="{5A9202C2-ADBA-FF43-980B-6329FC30CB29}">
  <cacheSource type="worksheet">
    <worksheetSource name="transfers"/>
  </cacheSource>
  <cacheFields count="5">
    <cacheField name="Created" numFmtId="22">
      <sharedItems containsSemiMixedTypes="0" containsNonDate="0" containsDate="1" containsString="0" minDate="2025-06-20T06:54:00" maxDate="2025-06-22T10:07:00"/>
    </cacheField>
    <cacheField name="Net" numFmtId="4">
      <sharedItems containsSemiMixedTypes="0" containsString="0" containsNumber="1" minValue="7.86" maxValue="321.18"/>
    </cacheField>
    <cacheField name="Details" numFmtId="0">
      <sharedItems/>
    </cacheField>
    <cacheField name="Customer Email.1" numFmtId="0">
      <sharedItems/>
    </cacheField>
    <cacheField name="Checkout Line Item Summary" numFmtId="0">
      <sharedItems containsBlank="1" count="11">
        <s v="Wsparcie | Giving (1)"/>
        <s v="" u="1"/>
        <m u="1"/>
        <s v="Podróż Razem 25 - bilet normalny (1)" u="1"/>
        <s v="Podróż Razem 25 - bilet małżeński (1)" u="1"/>
        <s v="700 miast: Kraków zjazd 1 (1)" u="1"/>
        <s v="Kobiety - Powołanie - Służba (1)" u="1"/>
        <s v="Wielki Spęd vol5 (1)" u="1"/>
        <s v="Uroczyste Spotkanie Świąteczne (1)" u="1"/>
        <s v="Męski Wyjazd - Zator (1)" u="1"/>
        <s v="Światłosfera (1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5-06-22T10:07:00"/>
    <n v="8.85"/>
    <s v="olimpieus@gmail.com"/>
    <s v="olimpieus@gmail.com"/>
    <x v="0"/>
  </r>
  <r>
    <d v="2025-06-22T10:07:00"/>
    <n v="48.25"/>
    <s v="czarekmatuszewski02@gmail.com"/>
    <s v="czarekmatuszewski02@gmail.com"/>
    <x v="0"/>
  </r>
  <r>
    <d v="2025-06-22T10:07:00"/>
    <n v="8.85"/>
    <s v="aniaszczyrna@icloud.com"/>
    <s v="aniaszczyrna@icloud.com"/>
    <x v="0"/>
  </r>
  <r>
    <d v="2025-06-22T10:03:00"/>
    <n v="321.18"/>
    <s v="ivan.kukharenko@gmail.com"/>
    <s v="ivan.kukharenko@gmail.com"/>
    <x v="0"/>
  </r>
  <r>
    <d v="2025-06-21T09:21:00"/>
    <n v="274.8"/>
    <s v="edromanovmusic@icloud.com"/>
    <s v="edromanovmusic@icloud.com"/>
    <x v="0"/>
  </r>
  <r>
    <d v="2025-06-20T16:02:00"/>
    <n v="28.55"/>
    <s v="danamyndzia9@gmail.com"/>
    <s v="danamyndzia9@gmail.com"/>
    <x v="0"/>
  </r>
  <r>
    <d v="2025-06-20T06:54:00"/>
    <n v="7.86"/>
    <s v=""/>
    <s v="dina.mishkur@gmail.co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D35EF-0ACD-674B-8325-DE302A68BCFF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3" firstHeaderRow="1" firstDataRow="1" firstDataCol="1"/>
  <pivotFields count="5">
    <pivotField numFmtId="22" showAll="0"/>
    <pivotField dataField="1" showAll="0"/>
    <pivotField showAll="0"/>
    <pivotField showAll="0"/>
    <pivotField axis="axisRow" showAll="0">
      <items count="12">
        <item m="1" x="1"/>
        <item m="1" x="8"/>
        <item m="1" x="7"/>
        <item x="0"/>
        <item m="1" x="2"/>
        <item m="1" x="9"/>
        <item m="1" x="10"/>
        <item m="1" x="3"/>
        <item m="1" x="6"/>
        <item m="1" x="4"/>
        <item m="1" x="5"/>
        <item t="default"/>
      </items>
    </pivotField>
  </pivotFields>
  <rowFields count="1">
    <field x="4"/>
  </rowFields>
  <rowItems count="2">
    <i>
      <x v="3"/>
    </i>
    <i t="grand">
      <x/>
    </i>
  </rowItems>
  <colItems count="1">
    <i/>
  </colItems>
  <dataFields count="1">
    <dataField name="Sum of Net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206420-6841-9242-93BA-302CB1AACEC5}" autoFormatId="16" applyNumberFormats="0" applyBorderFormats="0" applyFontFormats="0" applyPatternFormats="0" applyAlignmentFormats="0" applyWidthHeightFormats="0">
  <queryTableRefresh nextId="24">
    <queryTableFields count="5">
      <queryTableField id="3" name="Created" tableColumnId="3"/>
      <queryTableField id="9" name="Net" tableColumnId="9"/>
      <queryTableField id="11" name="Details" tableColumnId="11"/>
      <queryTableField id="21" name="Customer Email.1" tableColumnId="21"/>
      <queryTableField id="19" name="Checkout Line Item Summar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3C573-C953-854E-B6E4-1A009951CC8F}" name="transfers" displayName="transfers" ref="A1:E9" tableType="queryTable" totalsRowCount="1">
  <autoFilter ref="A1:E8" xr:uid="{F6B3C573-C953-854E-B6E4-1A009951CC8F}"/>
  <tableColumns count="5">
    <tableColumn id="3" xr3:uid="{407C1FBD-364C-784A-A0BA-925FDE012ADA}" uniqueName="3" name="Created" queryTableFieldId="3" dataDxfId="4"/>
    <tableColumn id="9" xr3:uid="{8F6C39FE-5249-124D-A414-7C9FF59A051E}" uniqueName="9" name="Net" totalsRowFunction="sum" queryTableFieldId="9" dataDxfId="3" totalsRowDxfId="5"/>
    <tableColumn id="11" xr3:uid="{FC7F07B9-E96B-6F46-9FEE-C0B20DDADBAE}" uniqueName="11" name="Details" queryTableFieldId="11" dataDxfId="2"/>
    <tableColumn id="21" xr3:uid="{AE91A51F-E7E4-E548-B6AC-7E8DB8877E49}" uniqueName="21" name="Customer Email.1" queryTableFieldId="21" dataDxfId="1"/>
    <tableColumn id="19" xr3:uid="{60C83636-B051-4C4B-AB3A-AAE9B40DAB02}" uniqueName="19" name="Checkout Line Item Summary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3677-6A84-9C41-8693-1366A8E10197}">
  <sheetPr>
    <pageSetUpPr fitToPage="1"/>
  </sheetPr>
  <dimension ref="A1:H9"/>
  <sheetViews>
    <sheetView tabSelected="1" workbookViewId="0">
      <selection activeCell="G2" sqref="G2"/>
    </sheetView>
  </sheetViews>
  <sheetFormatPr baseColWidth="10" defaultRowHeight="16" x14ac:dyDescent="0.2"/>
  <cols>
    <col min="1" max="1" width="12.33203125" bestFit="1" customWidth="1"/>
    <col min="2" max="2" width="6.6640625" style="2" bestFit="1" customWidth="1"/>
    <col min="3" max="4" width="29.33203125" bestFit="1" customWidth="1"/>
    <col min="5" max="5" width="28.1640625" bestFit="1" customWidth="1"/>
    <col min="6" max="6" width="11.1640625" bestFit="1" customWidth="1"/>
    <col min="7" max="7" width="18.33203125" bestFit="1" customWidth="1"/>
    <col min="8" max="8" width="10.1640625" bestFit="1" customWidth="1"/>
    <col min="9" max="9" width="8.1640625" bestFit="1" customWidth="1"/>
    <col min="10" max="10" width="19.5" bestFit="1" customWidth="1"/>
    <col min="11" max="11" width="22.1640625" bestFit="1" customWidth="1"/>
    <col min="12" max="12" width="29.5" bestFit="1" customWidth="1"/>
    <col min="13" max="13" width="30" bestFit="1" customWidth="1"/>
    <col min="14" max="14" width="17.1640625" bestFit="1" customWidth="1"/>
    <col min="15" max="15" width="25.83203125" bestFit="1" customWidth="1"/>
    <col min="16" max="16" width="27.5" bestFit="1" customWidth="1"/>
    <col min="17" max="17" width="21.6640625" bestFit="1" customWidth="1"/>
    <col min="18" max="18" width="21.33203125" bestFit="1" customWidth="1"/>
    <col min="19" max="19" width="25.83203125" bestFit="1" customWidth="1"/>
    <col min="20" max="20" width="21" bestFit="1" customWidth="1"/>
    <col min="21" max="21" width="30" bestFit="1" customWidth="1"/>
  </cols>
  <sheetData>
    <row r="1" spans="1:8" x14ac:dyDescent="0.2">
      <c r="A1" t="s">
        <v>0</v>
      </c>
      <c r="B1" s="2" t="s">
        <v>1</v>
      </c>
      <c r="C1" t="s">
        <v>2</v>
      </c>
      <c r="D1" t="s">
        <v>6</v>
      </c>
      <c r="E1" t="s">
        <v>4</v>
      </c>
      <c r="G1" s="3" t="s">
        <v>7</v>
      </c>
      <c r="H1" t="s">
        <v>9</v>
      </c>
    </row>
    <row r="2" spans="1:8" x14ac:dyDescent="0.2">
      <c r="A2" s="1">
        <v>45830.421527777777</v>
      </c>
      <c r="B2" s="2">
        <v>8.85</v>
      </c>
      <c r="C2" s="5" t="s">
        <v>15</v>
      </c>
      <c r="D2" s="5" t="s">
        <v>15</v>
      </c>
      <c r="E2" s="5" t="s">
        <v>5</v>
      </c>
      <c r="G2" s="4" t="s">
        <v>5</v>
      </c>
      <c r="H2" s="2">
        <v>698.34</v>
      </c>
    </row>
    <row r="3" spans="1:8" x14ac:dyDescent="0.2">
      <c r="A3" s="1">
        <v>45830.421527777777</v>
      </c>
      <c r="B3" s="2">
        <v>48.25</v>
      </c>
      <c r="C3" s="5" t="s">
        <v>16</v>
      </c>
      <c r="D3" s="5" t="s">
        <v>16</v>
      </c>
      <c r="E3" s="5" t="s">
        <v>5</v>
      </c>
      <c r="G3" s="4" t="s">
        <v>8</v>
      </c>
      <c r="H3" s="2">
        <v>698.34</v>
      </c>
    </row>
    <row r="4" spans="1:8" x14ac:dyDescent="0.2">
      <c r="A4" s="1">
        <v>45830.421527777777</v>
      </c>
      <c r="B4" s="2">
        <v>8.85</v>
      </c>
      <c r="C4" s="5" t="s">
        <v>12</v>
      </c>
      <c r="D4" s="5" t="s">
        <v>12</v>
      </c>
      <c r="E4" s="5" t="s">
        <v>5</v>
      </c>
    </row>
    <row r="5" spans="1:8" x14ac:dyDescent="0.2">
      <c r="A5" s="1">
        <v>45830.418749999997</v>
      </c>
      <c r="B5" s="2">
        <v>321.18</v>
      </c>
      <c r="C5" s="5" t="s">
        <v>17</v>
      </c>
      <c r="D5" s="5" t="s">
        <v>17</v>
      </c>
      <c r="E5" s="5" t="s">
        <v>5</v>
      </c>
    </row>
    <row r="6" spans="1:8" x14ac:dyDescent="0.2">
      <c r="A6" s="1">
        <v>45829.38958333333</v>
      </c>
      <c r="B6" s="2">
        <v>274.8</v>
      </c>
      <c r="C6" s="5" t="s">
        <v>13</v>
      </c>
      <c r="D6" s="5" t="s">
        <v>13</v>
      </c>
      <c r="E6" s="5" t="s">
        <v>5</v>
      </c>
    </row>
    <row r="7" spans="1:8" x14ac:dyDescent="0.2">
      <c r="A7" s="1">
        <v>45828.668055555558</v>
      </c>
      <c r="B7" s="2">
        <v>28.55</v>
      </c>
      <c r="C7" s="5" t="s">
        <v>14</v>
      </c>
      <c r="D7" s="5" t="s">
        <v>14</v>
      </c>
      <c r="E7" s="5" t="s">
        <v>5</v>
      </c>
    </row>
    <row r="8" spans="1:8" x14ac:dyDescent="0.2">
      <c r="A8" s="1">
        <v>45828.287499999999</v>
      </c>
      <c r="B8" s="2">
        <v>7.86</v>
      </c>
      <c r="C8" s="5" t="s">
        <v>3</v>
      </c>
      <c r="D8" s="5" t="s">
        <v>11</v>
      </c>
      <c r="E8" s="5" t="s">
        <v>5</v>
      </c>
    </row>
    <row r="9" spans="1:8" x14ac:dyDescent="0.2">
      <c r="B9" s="2">
        <f>SUBTOTAL(109,transfers[Net])</f>
        <v>698.34</v>
      </c>
      <c r="G9" t="s">
        <v>10</v>
      </c>
    </row>
  </sheetData>
  <phoneticPr fontId="1" type="noConversion"/>
  <pageMargins left="0.7" right="0.7" top="0.75" bottom="0.75" header="0.3" footer="0.3"/>
  <pageSetup paperSize="9" scale="84" orientation="landscape" horizontalDpi="0" verticalDpi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4D5E-6B44-734C-8AA4-86F1DC78D65C}">
  <dimension ref="A1"/>
  <sheetViews>
    <sheetView workbookViewId="0">
      <selection activeCell="K14" sqref="K14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7C0C0-B217-5B48-B917-80DEDE9CA2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transfers</vt:lpstr>
      <vt:lpstr>Sheet1</vt:lpstr>
      <vt:lpstr>transfers!Print_Area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Kuśmider</dc:creator>
  <cp:lastModifiedBy>Daniel Kuśmider</cp:lastModifiedBy>
  <cp:lastPrinted>2025-07-10T12:46:50Z</cp:lastPrinted>
  <dcterms:created xsi:type="dcterms:W3CDTF">2024-12-09T15:11:33Z</dcterms:created>
  <dcterms:modified xsi:type="dcterms:W3CDTF">2025-07-10T19:52:37Z</dcterms:modified>
</cp:coreProperties>
</file>